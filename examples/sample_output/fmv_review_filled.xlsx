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MV Review" sheetId="1" state="visible" r:id="rId1"/>
    <sheet xmlns:r="http://schemas.openxmlformats.org/officeDocument/2006/relationships" name="Track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yyyy-mm-dd h:mm:ss"/>
    <numFmt numFmtId="165" formatCode="yyyy-mm-dd"/>
    <numFmt numFmtId="166" formatCode="#,##0;-#,##0;;@"/>
    <numFmt numFmtId="167" formatCode="$#,##0"/>
    <numFmt numFmtId="168" formatCode="0.0"/>
    <numFmt numFmtId="169" formatCode="0.0%"/>
  </numFmts>
  <fonts count="10">
    <font>
      <name val="Calibri"/>
      <family val="2"/>
      <color theme="1"/>
      <sz val="11"/>
      <scheme val="minor"/>
    </font>
    <font>
      <name val="Georgia"/>
      <b val="1"/>
      <color rgb="001F3A5F"/>
      <sz val="18"/>
    </font>
    <font>
      <b val="1"/>
      <color rgb="001F3A5F"/>
      <sz val="12"/>
    </font>
    <font>
      <i val="1"/>
      <color rgb="0063696F"/>
      <sz val="9"/>
    </font>
    <font>
      <b val="1"/>
      <color rgb="001F3A5F"/>
      <sz val="10"/>
    </font>
    <font>
      <color rgb="0063696F"/>
      <sz val="10"/>
    </font>
    <font>
      <color rgb="0023262B"/>
      <sz val="10"/>
    </font>
    <font>
      <b val="1"/>
      <color rgb="001F3A5F"/>
      <sz val="9"/>
    </font>
    <font>
      <b val="1"/>
      <color rgb="008B3A3A"/>
      <sz val="10.5"/>
    </font>
    <font>
      <b val="1"/>
      <color rgb="008B3A3A"/>
      <sz val="10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bottom style="medium">
        <color rgb="001F3A5F"/>
      </bottom>
    </border>
    <border>
      <bottom style="thin">
        <color rgb="00B8BEC4"/>
      </bottom>
    </border>
    <border>
      <left/>
      <right/>
      <top/>
      <bottom style="thin">
        <color rgb="00B8BEC4"/>
      </bottom>
      <diagonal/>
    </border>
    <border>
      <top style="thin">
        <color rgb="0023262B"/>
      </top>
      <bottom style="thin">
        <color rgb="0023262B"/>
      </bottom>
    </border>
    <border>
      <bottom style="thin">
        <color rgb="001F3A5F"/>
      </bottom>
    </border>
    <border>
      <left/>
      <right/>
      <top/>
      <bottom style="medium">
        <color rgb="001F3A5F"/>
      </bottom>
      <diagonal/>
    </border>
    <border>
      <right/>
      <bottom style="thin">
        <color rgb="00B8BEC4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1" pivotButton="0" quotePrefix="0" xfId="0"/>
    <xf numFmtId="0" fontId="0" fillId="0" borderId="1" pivotButton="0" quotePrefix="0" xfId="0"/>
    <xf numFmtId="0" fontId="4" fillId="0" borderId="1" applyAlignment="1" pivotButton="0" quotePrefix="0" xfId="0">
      <alignment horizontal="left" vertical="center"/>
    </xf>
    <xf numFmtId="0" fontId="5" fillId="0" borderId="0" pivotButton="0" quotePrefix="0" xfId="0"/>
    <xf numFmtId="0" fontId="6" fillId="0" borderId="2" applyAlignment="1" pivotButton="0" quotePrefix="0" xfId="0">
      <alignment horizontal="left" vertical="center"/>
    </xf>
    <xf numFmtId="0" fontId="0" fillId="0" borderId="3" pivotButton="0" quotePrefix="0" xfId="0"/>
    <xf numFmtId="0" fontId="7" fillId="0" borderId="1" applyAlignment="1" pivotButton="0" quotePrefix="0" xfId="0">
      <alignment horizontal="center" vertical="center"/>
    </xf>
    <xf numFmtId="0" fontId="8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right" vertical="center"/>
    </xf>
    <xf numFmtId="0" fontId="6" fillId="0" borderId="2" applyAlignment="1" pivotButton="0" quotePrefix="0" xfId="0">
      <alignment horizontal="right" vertical="center"/>
    </xf>
    <xf numFmtId="0" fontId="9" fillId="0" borderId="0" pivotButton="0" quotePrefix="0" xfId="0"/>
    <xf numFmtId="0" fontId="9" fillId="0" borderId="2" applyAlignment="1" pivotButton="0" quotePrefix="0" xfId="0">
      <alignment horizontal="right" vertical="center"/>
    </xf>
    <xf numFmtId="0" fontId="0" fillId="0" borderId="0" applyAlignment="1" pivotButton="0" quotePrefix="0" xfId="0">
      <alignment vertical="top" wrapText="1"/>
    </xf>
    <xf numFmtId="0" fontId="7" fillId="0" borderId="5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6" pivotButton="0" quotePrefix="0" xfId="0"/>
    <xf numFmtId="0" fontId="6" fillId="0" borderId="7" applyAlignment="1" pivotButton="0" quotePrefix="0" xfId="0">
      <alignment horizontal="left" vertical="center"/>
    </xf>
    <xf numFmtId="2" fontId="6" fillId="0" borderId="2" applyAlignment="1" pivotButton="0" quotePrefix="0" xfId="0">
      <alignment horizontal="left" vertical="center"/>
    </xf>
    <xf numFmtId="165" fontId="6" fillId="0" borderId="2" applyAlignment="1" pivotButton="0" quotePrefix="0" xfId="0">
      <alignment horizontal="left" vertical="center"/>
    </xf>
    <xf numFmtId="3" fontId="8" fillId="0" borderId="4" applyAlignment="1" pivotButton="0" quotePrefix="0" xfId="0">
      <alignment horizontal="right" vertical="center"/>
    </xf>
    <xf numFmtId="166" fontId="8" fillId="0" borderId="4" applyAlignment="1" pivotButton="0" quotePrefix="0" xfId="0">
      <alignment horizontal="right" vertical="center"/>
    </xf>
    <xf numFmtId="167" fontId="8" fillId="0" borderId="4" applyAlignment="1" pivotButton="0" quotePrefix="0" xfId="0">
      <alignment horizontal="right" vertical="center"/>
    </xf>
    <xf numFmtId="167" fontId="6" fillId="0" borderId="2" applyAlignment="1" pivotButton="0" quotePrefix="0" xfId="0">
      <alignment horizontal="right" vertical="center"/>
    </xf>
    <xf numFmtId="167" fontId="9" fillId="0" borderId="2" applyAlignment="1" pivotButton="0" quotePrefix="0" xfId="0">
      <alignment horizontal="right" vertical="center"/>
    </xf>
    <xf numFmtId="168" fontId="6" fillId="0" borderId="2" applyAlignment="1" pivotButton="0" quotePrefix="0" xfId="0">
      <alignment horizontal="right" vertical="center"/>
    </xf>
    <xf numFmtId="3" fontId="6" fillId="0" borderId="2" applyAlignment="1" pivotButton="0" quotePrefix="0" xfId="0">
      <alignment horizontal="right" vertical="center"/>
    </xf>
    <xf numFmtId="164" fontId="0" fillId="0" borderId="2" pivotButton="0" quotePrefix="0" xfId="0"/>
    <xf numFmtId="2" fontId="0" fillId="0" borderId="2" pivotButton="0" quotePrefix="0" xfId="0"/>
    <xf numFmtId="167" fontId="0" fillId="0" borderId="2" pivotButton="0" quotePrefix="0" xfId="0"/>
    <xf numFmtId="168" fontId="0" fillId="0" borderId="2" pivotButton="0" quotePrefix="0" xfId="0"/>
    <xf numFmtId="3" fontId="0" fillId="0" borderId="2" pivotButton="0" quotePrefix="0" xfId="0"/>
    <xf numFmtId="167" fontId="0" fillId="0" borderId="0" pivotButton="0" quotePrefix="0" xfId="0"/>
    <xf numFmtId="169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3" customWidth="1" min="3" max="3"/>
    <col width="13" customWidth="1" min="4" max="4"/>
    <col width="14" customWidth="1" min="5" max="5"/>
    <col width="12" customWidth="1" min="6" max="6"/>
    <col width="12" customWidth="1" min="7" max="7"/>
    <col width="15" customWidth="1" min="8" max="8"/>
  </cols>
  <sheetData>
    <row r="1" ht="30" customHeight="1">
      <c r="A1" s="1" t="inlineStr">
        <is>
          <t>Fair Market Value Review</t>
        </is>
      </c>
    </row>
    <row r="2" ht="18" customHeight="1">
      <c r="A2" s="2" t="inlineStr">
        <is>
          <t>Provider 1  ·  Pediatric Critical Care</t>
        </is>
      </c>
    </row>
    <row r="3">
      <c r="A3" s="3" t="inlineStr">
        <is>
          <t>Confidential — market-based compensation assessment</t>
        </is>
      </c>
      <c r="B3" s="18" t="n"/>
      <c r="C3" s="18" t="n"/>
      <c r="D3" s="18" t="n"/>
      <c r="E3" s="18" t="n"/>
      <c r="F3" s="18" t="n"/>
      <c r="G3" s="18" t="n"/>
      <c r="H3" s="18" t="n"/>
    </row>
    <row r="4" ht="18" customHeight="1">
      <c r="A4" s="5" t="inlineStr">
        <is>
          <t>REVIEW SNAPSHOT</t>
        </is>
      </c>
      <c r="B4" s="4" t="n"/>
      <c r="C4" s="4" t="n"/>
      <c r="D4" s="4" t="n"/>
      <c r="E4" s="4" t="n"/>
      <c r="F4" s="4" t="n"/>
      <c r="G4" s="4" t="n"/>
      <c r="H4" s="4" t="n"/>
    </row>
    <row r="5">
      <c r="A5" s="6" t="inlineStr">
        <is>
          <t>Experience (yrs)</t>
        </is>
      </c>
      <c r="B5" s="7" t="n">
        <v>8</v>
      </c>
      <c r="D5" s="6" t="inlineStr">
        <is>
          <t>Review Type</t>
        </is>
      </c>
      <c r="E5" s="19" t="inlineStr">
        <is>
          <t>Existing Provider — Salary Adjustment</t>
        </is>
      </c>
      <c r="F5" s="8" t="n"/>
      <c r="G5" s="8" t="n"/>
      <c r="H5" s="8" t="n"/>
    </row>
    <row r="6">
      <c r="A6" s="6" t="inlineStr">
        <is>
          <t>FTE</t>
        </is>
      </c>
      <c r="B6" s="20" t="n">
        <v>1</v>
      </c>
      <c r="D6" s="6" t="inlineStr">
        <is>
          <t>Review Date</t>
        </is>
      </c>
      <c r="E6" s="21" t="n">
        <v>46242.56901234842</v>
      </c>
    </row>
    <row r="7">
      <c r="A7" s="6" t="inlineStr">
        <is>
          <t>Clinical FTE</t>
        </is>
      </c>
      <c r="B7" s="20" t="n">
        <v>1</v>
      </c>
    </row>
    <row r="9" ht="18" customHeight="1">
      <c r="A9" s="5" t="inlineStr">
        <is>
          <t>MARKET DATA — TCC</t>
        </is>
      </c>
      <c r="B9" s="9" t="inlineStr">
        <is>
          <t>n</t>
        </is>
      </c>
      <c r="C9" s="4" t="n"/>
      <c r="D9" s="9" t="inlineStr">
        <is>
          <t>p25</t>
        </is>
      </c>
      <c r="E9" s="9" t="inlineStr">
        <is>
          <t>p50</t>
        </is>
      </c>
      <c r="F9" s="9" t="inlineStr">
        <is>
          <t>p75</t>
        </is>
      </c>
      <c r="G9" s="9" t="inlineStr">
        <is>
          <t>p90</t>
        </is>
      </c>
      <c r="H9" s="4" t="n"/>
    </row>
    <row r="10">
      <c r="A10" s="10" t="inlineStr">
        <is>
          <t>Survey</t>
        </is>
      </c>
      <c r="B10" s="22" t="n">
        <v>265</v>
      </c>
      <c r="C10" s="23" t="n"/>
      <c r="D10" s="24" t="n">
        <v>281037.7358490566</v>
      </c>
      <c r="E10" s="24" t="n">
        <v>321037.7358490566</v>
      </c>
      <c r="F10" s="24" t="n">
        <v>366037.7358490566</v>
      </c>
      <c r="G10" s="24" t="n">
        <v>412716.9811320755</v>
      </c>
    </row>
    <row r="12" ht="18" customHeight="1">
      <c r="A12" s="5" t="inlineStr">
        <is>
          <t>MARKET DATA — WRVUS</t>
        </is>
      </c>
      <c r="B12" s="9" t="inlineStr">
        <is>
          <t>n</t>
        </is>
      </c>
      <c r="C12" s="4" t="n"/>
      <c r="D12" s="9" t="inlineStr">
        <is>
          <t>p25</t>
        </is>
      </c>
      <c r="E12" s="9" t="inlineStr">
        <is>
          <t>p50</t>
        </is>
      </c>
      <c r="F12" s="9" t="inlineStr">
        <is>
          <t>p75</t>
        </is>
      </c>
      <c r="G12" s="9" t="inlineStr">
        <is>
          <t>p90</t>
        </is>
      </c>
      <c r="H12" s="4" t="n"/>
    </row>
    <row r="13">
      <c r="A13" s="10" t="inlineStr">
        <is>
          <t>Survey</t>
        </is>
      </c>
      <c r="B13" s="22" t="n">
        <v>265</v>
      </c>
      <c r="C13" s="23" t="n"/>
      <c r="D13" s="22" t="n">
        <v>3603.962264150944</v>
      </c>
      <c r="E13" s="22" t="n">
        <v>4203.962264150943</v>
      </c>
      <c r="F13" s="22" t="n">
        <v>4903.962264150943</v>
      </c>
      <c r="G13" s="22" t="n">
        <v>5603.962264150943</v>
      </c>
    </row>
    <row r="15" ht="18" customHeight="1">
      <c r="A15" s="5" t="inlineStr">
        <is>
          <t>COMPENSATION ANALYSIS</t>
        </is>
      </c>
      <c r="B15" s="9" t="inlineStr">
        <is>
          <t>Base</t>
        </is>
      </c>
      <c r="C15" s="9" t="inlineStr">
        <is>
          <t>Component 1</t>
        </is>
      </c>
      <c r="D15" s="9" t="inlineStr">
        <is>
          <t>Component 2</t>
        </is>
      </c>
      <c r="E15" s="9" t="inlineStr">
        <is>
          <t>Component 3</t>
        </is>
      </c>
      <c r="F15" s="9" t="inlineStr">
        <is>
          <t>TCC</t>
        </is>
      </c>
      <c r="G15" s="9" t="inlineStr">
        <is>
          <t>Benefits</t>
        </is>
      </c>
      <c r="H15" s="9" t="inlineStr">
        <is>
          <t>Total + Benefits</t>
        </is>
      </c>
    </row>
    <row r="16">
      <c r="A16" s="6" t="inlineStr">
        <is>
          <t>Current</t>
        </is>
      </c>
      <c r="B16" s="25" t="n">
        <v>316200</v>
      </c>
      <c r="C16" s="25" t="n">
        <v>0</v>
      </c>
      <c r="D16" s="25" t="n">
        <v>0</v>
      </c>
      <c r="E16" s="25" t="n"/>
      <c r="F16" s="25">
        <f>SUM(B16:E16)</f>
        <v/>
      </c>
      <c r="G16" s="25">
        <f>F16*0.048</f>
        <v/>
      </c>
      <c r="H16" s="25">
        <f>F16+G16</f>
        <v/>
      </c>
    </row>
    <row r="17">
      <c r="A17" s="6" t="inlineStr">
        <is>
          <t>Proposed</t>
        </is>
      </c>
      <c r="B17" s="25" t="n">
        <v>325000</v>
      </c>
      <c r="C17" s="25" t="n">
        <v>42000</v>
      </c>
      <c r="D17" s="25" t="n">
        <v>0</v>
      </c>
      <c r="E17" s="25" t="n"/>
      <c r="F17" s="25">
        <f>SUM(B17:E17)</f>
        <v/>
      </c>
      <c r="G17" s="25">
        <f>F17*0.048</f>
        <v/>
      </c>
      <c r="H17" s="25">
        <f>F17+G17</f>
        <v/>
      </c>
    </row>
    <row r="18">
      <c r="A18" s="13" t="inlineStr">
        <is>
          <t>Δ Change</t>
        </is>
      </c>
      <c r="B18" s="26">
        <f>B17-B16</f>
        <v/>
      </c>
      <c r="C18" s="26">
        <f>C17-C16</f>
        <v/>
      </c>
      <c r="D18" s="26">
        <f>D17-D16</f>
        <v/>
      </c>
      <c r="E18" s="26">
        <f>E17-E16</f>
        <v/>
      </c>
      <c r="F18" s="26">
        <f>F17-F16</f>
        <v/>
      </c>
      <c r="G18" s="26">
        <f>G17-G16</f>
        <v/>
      </c>
      <c r="H18" s="26">
        <f>H17-H16</f>
        <v/>
      </c>
    </row>
    <row r="20">
      <c r="A20" s="6" t="inlineStr">
        <is>
          <t>Current TCC %ile</t>
        </is>
      </c>
      <c r="B20" s="27">
        <f>IFERROR(IF(F16&lt;=$E$10,25+(F16-$D$10)/($E$10-$D$10)*25,IF(F16&lt;=$F$10,50+(F16-$E$10)/($F$10-$E$10)*25,75+(F16-$F$10)/($G$10-$F$10)*15)),"")</f>
        <v/>
      </c>
      <c r="D20" s="6" t="inlineStr">
        <is>
          <t>Proposed %ile</t>
        </is>
      </c>
      <c r="E20" s="27">
        <f>IFERROR(IF(F17&lt;=$E$10,25+(F17-$D$10)/($E$10-$D$10)*25,IF(F17&lt;=$F$10,50+(F17-$E$10)/($F$10-$E$10)*25,75+(F17-$F$10)/($G$10-$F$10)*15)),"")</f>
        <v/>
      </c>
    </row>
    <row r="21">
      <c r="A21" s="6" t="inlineStr">
        <is>
          <t>Total wRVUs</t>
        </is>
      </c>
      <c r="B21" s="28" t="n">
        <v>4228</v>
      </c>
      <c r="D21" s="6" t="inlineStr">
        <is>
          <t>wRVU %ile</t>
        </is>
      </c>
      <c r="E21" s="27">
        <f>IFERROR(IF(B21&lt;=$E$13,25+(B21-$D$13)/($E$13-$D$13)*25,IF(B21&lt;=$F$13,50+(B21-$E$13)/($F$13-$E$13)*25,75+(B21-$F$13)/($G$13-$F$13)*15)),"")</f>
        <v/>
      </c>
    </row>
    <row r="23" ht="18" customHeight="1">
      <c r="A23" s="5" t="inlineStr">
        <is>
          <t>SUMMARY &amp; RATIONALE</t>
        </is>
      </c>
      <c r="B23" s="4" t="n"/>
      <c r="C23" s="4" t="n"/>
      <c r="D23" s="4" t="n"/>
      <c r="E23" s="4" t="n"/>
      <c r="F23" s="4" t="n"/>
      <c r="G23" s="4" t="n"/>
      <c r="H23" s="4" t="n"/>
    </row>
    <row r="24">
      <c r="A24" s="15" t="inlineStr"/>
    </row>
    <row r="25"/>
    <row r="27" ht="18" customHeight="1">
      <c r="A27" s="5" t="inlineStr">
        <is>
          <t>BACKGROUND</t>
        </is>
      </c>
      <c r="B27" s="4" t="n"/>
      <c r="C27" s="4" t="n"/>
      <c r="D27" s="4" t="n"/>
      <c r="E27" s="4" t="n"/>
      <c r="F27" s="4" t="n"/>
      <c r="G27" s="4" t="n"/>
      <c r="H27" s="4" t="n"/>
    </row>
    <row r="28">
      <c r="A28" s="15" t="inlineStr"/>
    </row>
    <row r="29"/>
    <row r="30">
      <c r="A30" s="6" t="inlineStr">
        <is>
          <t>Provider Background:</t>
        </is>
      </c>
    </row>
    <row r="31">
      <c r="A31" s="15" t="inlineStr"/>
    </row>
    <row r="32"/>
  </sheetData>
  <mergeCells count="7">
    <mergeCell ref="A3:H3"/>
    <mergeCell ref="A28:H29"/>
    <mergeCell ref="A2:H2"/>
    <mergeCell ref="A31:H32"/>
    <mergeCell ref="A1:H1"/>
    <mergeCell ref="E5:H5"/>
    <mergeCell ref="A24:H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E6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2" customWidth="1" min="6" max="6"/>
    <col width="12" customWidth="1" min="7" max="7"/>
    <col width="13" customWidth="1" min="9" max="9"/>
    <col width="12" customWidth="1" min="10" max="10"/>
    <col width="12" customWidth="1" min="11" max="11"/>
    <col width="12" customWidth="1" min="17" max="17"/>
    <col width="13" customWidth="1" min="18" max="18"/>
    <col width="13" customWidth="1" min="19" max="19"/>
    <col width="12" customWidth="1" min="20" max="20"/>
    <col width="15" customWidth="1" min="21" max="21"/>
    <col width="12" customWidth="1" min="22" max="22"/>
    <col width="12" customWidth="1" min="23" max="23"/>
    <col width="12" customWidth="1" min="24" max="24"/>
    <col width="12" customWidth="1" min="27" max="27"/>
    <col width="14" customWidth="1" min="28" max="28"/>
    <col width="14" customWidth="1" min="29" max="29"/>
    <col width="12" customWidth="1" min="30" max="30"/>
    <col width="16" customWidth="1" min="31" max="31"/>
    <col width="12" customWidth="1" min="42" max="42"/>
  </cols>
  <sheetData>
    <row r="1" ht="24" customHeight="1">
      <c r="A1" s="1" t="inlineStr">
        <is>
          <t>FMV Reviews — Tracker</t>
        </is>
      </c>
    </row>
    <row r="2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  <c r="AG2" s="4" t="n"/>
      <c r="AH2" s="4" t="n"/>
      <c r="AI2" s="4" t="n"/>
      <c r="AJ2" s="4" t="n"/>
      <c r="AK2" s="4" t="n"/>
      <c r="AL2" s="4" t="n"/>
      <c r="AM2" s="4" t="n"/>
      <c r="AN2" s="4" t="n"/>
      <c r="AO2" s="4" t="n"/>
      <c r="AP2" s="4" t="n"/>
      <c r="AQ2" s="4" t="n"/>
      <c r="AR2" s="4" t="n"/>
    </row>
    <row r="5">
      <c r="A5" s="16" t="inlineStr">
        <is>
          <t>Label</t>
        </is>
      </c>
      <c r="B5" s="16" t="inlineStr">
        <is>
          <t>Track #</t>
        </is>
      </c>
      <c r="C5" s="16" t="inlineStr">
        <is>
          <t>Submit Date</t>
        </is>
      </c>
      <c r="F5" s="16" t="inlineStr">
        <is>
          <t>Provider</t>
        </is>
      </c>
      <c r="G5" s="16" t="inlineStr">
        <is>
          <t>Specialty</t>
        </is>
      </c>
      <c r="I5" s="16" t="inlineStr">
        <is>
          <t>Experience</t>
        </is>
      </c>
      <c r="J5" s="16" t="inlineStr">
        <is>
          <t>Type</t>
        </is>
      </c>
      <c r="K5" s="16" t="inlineStr">
        <is>
          <t>FTE</t>
        </is>
      </c>
      <c r="Q5" s="16" t="inlineStr">
        <is>
          <t>Cur Base</t>
        </is>
      </c>
      <c r="R5" s="16" t="inlineStr">
        <is>
          <t>Cur Comp 1</t>
        </is>
      </c>
      <c r="S5" s="16" t="inlineStr">
        <is>
          <t>Cur Comp 2</t>
        </is>
      </c>
      <c r="T5" s="16" t="inlineStr">
        <is>
          <t>Cur TCC</t>
        </is>
      </c>
      <c r="U5" s="16" t="inlineStr">
        <is>
          <t>Cur Benefits</t>
        </is>
      </c>
      <c r="V5" s="16" t="inlineStr">
        <is>
          <t>TCC %ile</t>
        </is>
      </c>
      <c r="W5" s="16" t="inlineStr">
        <is>
          <t>wRVUs</t>
        </is>
      </c>
      <c r="X5" s="16" t="inlineStr">
        <is>
          <t>wRVU %ile</t>
        </is>
      </c>
      <c r="AA5" s="16" t="inlineStr">
        <is>
          <t>Prop Base</t>
        </is>
      </c>
      <c r="AB5" s="16" t="inlineStr">
        <is>
          <t>Prop Comp 1</t>
        </is>
      </c>
      <c r="AC5" s="16" t="inlineStr">
        <is>
          <t>Prop Comp 2</t>
        </is>
      </c>
      <c r="AD5" s="16" t="inlineStr">
        <is>
          <t>Prop TCC</t>
        </is>
      </c>
      <c r="AE5" s="16" t="inlineStr">
        <is>
          <t>Prop Benefits</t>
        </is>
      </c>
      <c r="AP5" s="16" t="inlineStr">
        <is>
          <t>Proj %ile</t>
        </is>
      </c>
    </row>
    <row r="6">
      <c r="A6" s="17" t="inlineStr">
        <is>
          <t>Fiscal Year Requests</t>
        </is>
      </c>
      <c r="B6" s="17" t="n">
        <v>100026</v>
      </c>
      <c r="C6" s="29" t="n">
        <v>46242.56901234842</v>
      </c>
      <c r="F6" s="17" t="inlineStr">
        <is>
          <t>Provider 1</t>
        </is>
      </c>
      <c r="G6" s="17" t="inlineStr">
        <is>
          <t>Pediatric Critical Care</t>
        </is>
      </c>
      <c r="I6" s="17" t="n">
        <v>8</v>
      </c>
      <c r="J6" s="17" t="inlineStr">
        <is>
          <t>Adjustment</t>
        </is>
      </c>
      <c r="K6" s="30" t="n">
        <v>1</v>
      </c>
      <c r="L6" t="n">
        <v>1</v>
      </c>
      <c r="M6" t="n">
        <v>0</v>
      </c>
      <c r="N6" t="n">
        <v>0</v>
      </c>
      <c r="O6" t="n">
        <v>0</v>
      </c>
      <c r="Q6" s="31" t="n">
        <v>316200</v>
      </c>
      <c r="R6" s="31" t="n">
        <v>0</v>
      </c>
      <c r="S6" s="31" t="n">
        <v>0</v>
      </c>
      <c r="T6" s="31">
        <f>SUM(Q6:S6)</f>
        <v/>
      </c>
      <c r="U6" s="31">
        <f>T6*0.048</f>
        <v/>
      </c>
      <c r="V6" s="32">
        <f>'FMV Review'!B20</f>
        <v/>
      </c>
      <c r="W6" s="33" t="n">
        <v>4228</v>
      </c>
      <c r="X6" s="32">
        <f>'FMV Review'!E21</f>
        <v/>
      </c>
      <c r="Z6" t="inlineStr"/>
      <c r="AA6" s="31" t="n">
        <v>325000</v>
      </c>
      <c r="AB6" s="31" t="n">
        <v>42000</v>
      </c>
      <c r="AC6" s="31" t="n">
        <v>0</v>
      </c>
      <c r="AD6" s="31">
        <f>SUM(AA6:AC6)</f>
        <v/>
      </c>
      <c r="AE6" s="31">
        <f>AD6*0.048</f>
        <v/>
      </c>
      <c r="AF6" s="34">
        <f>AA6-Q6</f>
        <v/>
      </c>
      <c r="AG6" s="34">
        <f>AB6-R6</f>
        <v/>
      </c>
      <c r="AH6" s="34">
        <f>AC6-S6</f>
        <v/>
      </c>
      <c r="AI6" s="34">
        <f>AD6-T6</f>
        <v/>
      </c>
      <c r="AJ6" s="34">
        <f>AE6-U6</f>
        <v/>
      </c>
      <c r="AK6" s="35">
        <f>IFERROR(AF6/Q6,0)</f>
        <v/>
      </c>
      <c r="AL6" s="35">
        <f>IFERROR(AG6/R6,0)</f>
        <v/>
      </c>
      <c r="AM6" s="35">
        <f>IFERROR(AH6/S6,0)</f>
        <v/>
      </c>
      <c r="AN6" s="35">
        <f>IFERROR(AI6/T6,0)</f>
        <v/>
      </c>
      <c r="AO6" s="35">
        <f>IFERROR(AJ6/U6,0)</f>
        <v/>
      </c>
      <c r="AP6" s="32">
        <f>'FMV Review'!E20</f>
        <v/>
      </c>
      <c r="AR6" s="36">
        <f>'FMV Review'!B10</f>
        <v/>
      </c>
      <c r="AS6" s="34">
        <f>'FMV Review'!C10</f>
        <v/>
      </c>
      <c r="AT6" s="34">
        <f>'FMV Review'!D10</f>
        <v/>
      </c>
      <c r="AU6" s="34">
        <f>'FMV Review'!E10</f>
        <v/>
      </c>
      <c r="AV6" s="34">
        <f>'FMV Review'!F10</f>
        <v/>
      </c>
      <c r="AW6" s="34">
        <f>'FMV Review'!G10</f>
        <v/>
      </c>
      <c r="AX6" s="36">
        <f>'FMV Review'!B13</f>
        <v/>
      </c>
      <c r="AY6" s="36">
        <f>'FMV Review'!C13</f>
        <v/>
      </c>
      <c r="AZ6" s="36">
        <f>'FMV Review'!D13</f>
        <v/>
      </c>
      <c r="BA6" s="36">
        <f>'FMV Review'!E13</f>
        <v/>
      </c>
      <c r="BB6" s="36">
        <f>'FMV Review'!F13</f>
        <v/>
      </c>
      <c r="BC6" s="36">
        <f>'FMV Review'!G13</f>
        <v/>
      </c>
      <c r="BD6" t="inlineStr"/>
      <c r="BE6" t="inlineStr"/>
    </row>
  </sheetData>
  <mergeCells count="1"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2026-08-08T20:36:48Z</dcterms:created>
  <dcterms:modified xmlns:dcterms="http://purl.org/dc/terms/" xmlns:xsi="http://www.w3.org/2001/XMLSchema-instance" xsi:type="dcterms:W3CDTF">2026-08-08T20:39:22Z</dcterms:modified>
</cp:coreProperties>
</file>